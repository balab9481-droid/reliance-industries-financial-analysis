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51F836F-181F-45E0-951F-CC6E64F1417D}" xr6:coauthVersionLast="47" xr6:coauthVersionMax="47" xr10:uidLastSave="{00000000-0000-0000-0000-000000000000}"/>
  <bookViews>
    <workbookView xWindow="-108" yWindow="-108" windowWidth="23256" windowHeight="13896" xr2:uid="{6C67D64D-3A4C-40F4-985C-C01FF09F7973}"/>
  </bookViews>
  <sheets>
    <sheet name="Financial Data" sheetId="1" r:id="rId1"/>
    <sheet name="Ratio Analysis" sheetId="2" r:id="rId2"/>
    <sheet name="YOY Grow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C8" i="3"/>
</calcChain>
</file>

<file path=xl/sharedStrings.xml><?xml version="1.0" encoding="utf-8"?>
<sst xmlns="http://schemas.openxmlformats.org/spreadsheetml/2006/main" count="43" uniqueCount="35">
  <si>
    <t>Metric</t>
  </si>
  <si>
    <t>ROE</t>
  </si>
  <si>
    <t>Financial Metric</t>
  </si>
  <si>
    <t>FY23</t>
  </si>
  <si>
    <t>FY24</t>
  </si>
  <si>
    <t>FY25</t>
  </si>
  <si>
    <t>Profit  After Tax (₹ crore)</t>
  </si>
  <si>
    <t>Revenuve (₹ crore)</t>
  </si>
  <si>
    <t>EBITDA Margin (%)</t>
  </si>
  <si>
    <t>EPS (₹)</t>
  </si>
  <si>
    <t>ROE (%)</t>
  </si>
  <si>
    <t>Total debt (₹ crore)</t>
  </si>
  <si>
    <t>Total Equity (₹ crore)</t>
  </si>
  <si>
    <t>Ratio</t>
  </si>
  <si>
    <t>Net Margin Ratio</t>
  </si>
  <si>
    <t>ROCE</t>
  </si>
  <si>
    <t>Debt to Equity</t>
  </si>
  <si>
    <t>Formula</t>
  </si>
  <si>
    <t>PAT/Revenue*100</t>
  </si>
  <si>
    <t>PAT/Equity*100</t>
  </si>
  <si>
    <t>EBIT/Average Capital Employed *100</t>
  </si>
  <si>
    <t>Total Debt/Total Equity</t>
  </si>
  <si>
    <t>Revenuue Growth(%)</t>
  </si>
  <si>
    <t>-</t>
  </si>
  <si>
    <t>ROE(%)</t>
  </si>
  <si>
    <t>EBITDA Margin(%)</t>
  </si>
  <si>
    <t>PAT Growth(%)</t>
  </si>
  <si>
    <t>Source &amp; Reference</t>
  </si>
  <si>
    <t>Reliance industries Financial Analysis — FY2023 to FY2025</t>
  </si>
  <si>
    <t>Reliance industries Ratio Analysis — FY2023 to FY2025</t>
  </si>
  <si>
    <t>Reliance industries Year-on-Year Growth Analysis — FY2023 to FY2025</t>
  </si>
  <si>
    <t>Reliance Industries Limited, Integrated Annual Report 2024–25</t>
  </si>
  <si>
    <t>Reliance Industries — Online Annual Reports / Financial Reporting</t>
  </si>
  <si>
    <t>Reliance Industries Limited, Integrated Annual Report 2023-24</t>
  </si>
  <si>
    <t>Reliance Industries Limited, Integrated Annual Report 2022–23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</si>
</sst>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6" formatCode="0.0%"/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164" fontId="0" fillId="0" borderId="1" xfId="1" applyNumberFormat="1" applyFont="1" applyBorder="1"/>
    <xf numFmtId="2" fontId="0" fillId="0" borderId="1" xfId="0" applyNumberFormat="1" applyBorder="1"/>
    <xf numFmtId="10" fontId="0" fillId="0" borderId="1" xfId="2" applyNumberFormat="1" applyFont="1" applyBorder="1"/>
    <xf numFmtId="0" fontId="2" fillId="0" borderId="1" xfId="0" applyFont="1" applyBorder="1" applyAlignment="1">
      <alignment horizontal="center"/>
    </xf>
    <xf numFmtId="166" fontId="0" fillId="0" borderId="1" xfId="0" applyNumberFormat="1" applyBorder="1"/>
    <xf numFmtId="169" fontId="0" fillId="0" borderId="1" xfId="2" applyNumberFormat="1" applyFont="1" applyBorder="1"/>
    <xf numFmtId="166" fontId="0" fillId="0" borderId="1" xfId="1" applyNumberFormat="1" applyFont="1" applyBorder="1"/>
    <xf numFmtId="169" fontId="0" fillId="0" borderId="1" xfId="0" applyNumberFormat="1" applyBorder="1"/>
    <xf numFmtId="166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PAT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Data'!$A$4</c:f>
              <c:strCache>
                <c:ptCount val="1"/>
                <c:pt idx="0">
                  <c:v>Revenuve (₹ crore)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Data'!$B$3:$D$3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'Financial Data'!$C$4:$D$4</c:f>
              <c:numCache>
                <c:formatCode>_ * #,##0_ ;_ * \-#,##0_ ;_ * "-"??_ ;_ @_ </c:formatCode>
                <c:ptCount val="2"/>
                <c:pt idx="0">
                  <c:v>1000122</c:v>
                </c:pt>
                <c:pt idx="1">
                  <c:v>1071174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40FC-9C5E-4BEBFE34970D}"/>
            </c:ext>
          </c:extLst>
        </c:ser>
        <c:ser>
          <c:idx val="1"/>
          <c:order val="1"/>
          <c:tx>
            <c:strRef>
              <c:f>'Financial Data'!$A$5</c:f>
              <c:strCache>
                <c:ptCount val="1"/>
                <c:pt idx="0">
                  <c:v>Profit  After Tax (₹ crore)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Data'!$B$3:$D$3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'Financial Data'!$C$5:$D$5</c:f>
              <c:numCache>
                <c:formatCode>_ * #,##0_ ;_ * \-#,##0_ ;_ * "-"??_ ;_ @_ </c:formatCode>
                <c:ptCount val="2"/>
                <c:pt idx="0">
                  <c:v>79020</c:v>
                </c:pt>
                <c:pt idx="1">
                  <c:v>81309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40FC-9C5E-4BEBFE3497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0840304"/>
        <c:axId val="1557204720"/>
      </c:barChart>
      <c:catAx>
        <c:axId val="163084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04720"/>
        <c:crosses val="autoZero"/>
        <c:auto val="1"/>
        <c:lblAlgn val="ctr"/>
        <c:lblOffset val="100"/>
        <c:noMultiLvlLbl val="0"/>
      </c:catAx>
      <c:valAx>
        <c:axId val="15572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4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Margin &amp;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'YOY Growth'!$A$6</c:f>
              <c:strCache>
                <c:ptCount val="1"/>
                <c:pt idx="0">
                  <c:v>EBITDA Margin(%)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Growth'!$B$6:$D$6</c:f>
              <c:numCache>
                <c:formatCode>0.0%</c:formatCode>
                <c:ptCount val="3"/>
                <c:pt idx="0">
                  <c:v>0.158</c:v>
                </c:pt>
                <c:pt idx="1">
                  <c:v>0.17799999999999999</c:v>
                </c:pt>
                <c:pt idx="2">
                  <c:v>0.17100000000000001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5-454F-844B-4D5217DBD211}"/>
            </c:ext>
          </c:extLst>
        </c:ser>
        <c:ser>
          <c:idx val="1"/>
          <c:order val="1"/>
          <c:tx>
            <c:strRef>
              <c:f>'YOY Growth'!$A$7</c:f>
              <c:strCache>
                <c:ptCount val="1"/>
                <c:pt idx="0">
                  <c:v>ROE(%)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Growth'!$B$7:$D$7</c:f>
              <c:numCache>
                <c:formatCode>0.00%</c:formatCode>
                <c:ptCount val="3"/>
                <c:pt idx="0">
                  <c:v>0.10290000000000001</c:v>
                </c:pt>
                <c:pt idx="1">
                  <c:v>8.5400000000000004E-2</c:v>
                </c:pt>
                <c:pt idx="2">
                  <c:v>8.0500000000000002E-2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5-454F-844B-4D5217DBD21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0823600"/>
        <c:axId val="1557267600"/>
      </c:lineChart>
      <c:catAx>
        <c:axId val="163082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67600"/>
        <c:crosses val="autoZero"/>
        <c:auto val="1"/>
        <c:lblAlgn val="ctr"/>
        <c:lblOffset val="100"/>
        <c:noMultiLvlLbl val="0"/>
      </c:catAx>
      <c:valAx>
        <c:axId val="15572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2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'YOY Growth'!$A$8</c:f>
              <c:strCache>
                <c:ptCount val="1"/>
                <c:pt idx="0">
                  <c:v>Debt to 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'YOY Growth'!$B$3:$D$3</c:f>
              <c:strCache>
                <c:ptCount val="3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</c:strCache>
            </c:strRef>
          </c:cat>
          <c:val>
            <c:numRef>
              <c:f>'YOY Growth'!$B$8:$D$8</c:f>
              <c:numCache>
                <c:formatCode>0.00</c:formatCode>
                <c:ptCount val="3"/>
                <c:pt idx="0">
                  <c:v>0.44</c:v>
                </c:pt>
                <c:pt idx="1">
                  <c:v>0.35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46BB-9F8C-A2B7617E5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0845872"/>
        <c:axId val="1557196560"/>
      </c:barChart>
      <c:catAx>
        <c:axId val="163084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96560"/>
        <c:crosses val="autoZero"/>
        <c:auto val="1"/>
        <c:lblAlgn val="ctr"/>
        <c:lblOffset val="100"/>
        <c:noMultiLvlLbl val="0"/>
      </c:catAx>
      <c:valAx>
        <c:axId val="15571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8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247650</xdr:rowOff>
    </xdr:from>
    <xdr:to>
      <xdr:col>13</xdr:col>
      <xdr:colOff>312420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F56AB-FB2F-2787-928C-894519C1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9</xdr:row>
      <xdr:rowOff>3810</xdr:rowOff>
    </xdr:from>
    <xdr:to>
      <xdr:col>14</xdr:col>
      <xdr:colOff>60960</xdr:colOff>
      <xdr:row>24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64A2EA-7590-277D-D3C4-753D06802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27</xdr:row>
      <xdr:rowOff>11430</xdr:rowOff>
    </xdr:from>
    <xdr:to>
      <xdr:col>14</xdr:col>
      <xdr:colOff>38100</xdr:colOff>
      <xdr:row>42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23D6A3-A49C-C019-C2E5-8F2A6EAC1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D090-3A55-4F4B-A931-ABE1B7F0BC1D}">
  <dimension ref="A1:D16"/>
  <sheetViews>
    <sheetView tabSelected="1" workbookViewId="0">
      <selection activeCell="E20" sqref="E20"/>
    </sheetView>
  </sheetViews>
  <sheetFormatPr defaultRowHeight="14.4" x14ac:dyDescent="0.3"/>
  <cols>
    <col min="1" max="1" width="20.21875" bestFit="1" customWidth="1"/>
    <col min="2" max="2" width="13.21875" bestFit="1" customWidth="1"/>
    <col min="3" max="3" width="12.33203125" bestFit="1" customWidth="1"/>
    <col min="4" max="4" width="13.33203125" bestFit="1" customWidth="1"/>
  </cols>
  <sheetData>
    <row r="1" spans="1:4" ht="21" x14ac:dyDescent="0.3">
      <c r="A1" s="3" t="s">
        <v>28</v>
      </c>
      <c r="B1" s="3"/>
      <c r="C1" s="3"/>
    </row>
    <row r="3" spans="1:4" x14ac:dyDescent="0.3">
      <c r="A3" s="11" t="s">
        <v>2</v>
      </c>
      <c r="B3" s="5" t="s">
        <v>3</v>
      </c>
      <c r="C3" s="5" t="s">
        <v>4</v>
      </c>
      <c r="D3" s="5" t="s">
        <v>5</v>
      </c>
    </row>
    <row r="4" spans="1:4" x14ac:dyDescent="0.3">
      <c r="A4" s="4" t="s">
        <v>7</v>
      </c>
      <c r="B4" s="8">
        <v>974864</v>
      </c>
      <c r="C4" s="8">
        <v>1000122</v>
      </c>
      <c r="D4" s="8">
        <v>1071174</v>
      </c>
    </row>
    <row r="5" spans="1:4" x14ac:dyDescent="0.3">
      <c r="A5" s="4" t="s">
        <v>6</v>
      </c>
      <c r="B5" s="8">
        <v>73670</v>
      </c>
      <c r="C5" s="8">
        <v>79020</v>
      </c>
      <c r="D5" s="8">
        <v>81309</v>
      </c>
    </row>
    <row r="6" spans="1:4" x14ac:dyDescent="0.3">
      <c r="A6" s="4" t="s">
        <v>8</v>
      </c>
      <c r="B6" s="14">
        <v>0.158</v>
      </c>
      <c r="C6" s="12">
        <v>0.17799999999999999</v>
      </c>
      <c r="D6" s="12">
        <v>0.17100000000000001</v>
      </c>
    </row>
    <row r="7" spans="1:4" x14ac:dyDescent="0.3">
      <c r="A7" s="4" t="s">
        <v>9</v>
      </c>
      <c r="B7" s="13">
        <v>98</v>
      </c>
      <c r="C7" s="15">
        <v>102.9</v>
      </c>
      <c r="D7" s="15">
        <v>51.5</v>
      </c>
    </row>
    <row r="8" spans="1:4" x14ac:dyDescent="0.3">
      <c r="A8" s="4" t="s">
        <v>10</v>
      </c>
      <c r="B8" s="10">
        <v>0.10290000000000001</v>
      </c>
      <c r="C8" s="7">
        <v>8.5400000000000004E-2</v>
      </c>
      <c r="D8" s="7">
        <v>8.0500000000000002E-2</v>
      </c>
    </row>
    <row r="9" spans="1:4" x14ac:dyDescent="0.3">
      <c r="A9" s="4" t="s">
        <v>11</v>
      </c>
      <c r="B9" s="8">
        <v>313966</v>
      </c>
      <c r="C9" s="8">
        <v>324622</v>
      </c>
      <c r="D9" s="8">
        <v>347530</v>
      </c>
    </row>
    <row r="10" spans="1:4" x14ac:dyDescent="0.3">
      <c r="A10" s="4" t="s">
        <v>12</v>
      </c>
      <c r="B10" s="8">
        <v>715872</v>
      </c>
      <c r="C10" s="8">
        <v>925788</v>
      </c>
      <c r="D10" s="8">
        <v>1009626</v>
      </c>
    </row>
    <row r="12" spans="1:4" x14ac:dyDescent="0.3">
      <c r="A12" s="1" t="s">
        <v>27</v>
      </c>
    </row>
    <row r="13" spans="1:4" x14ac:dyDescent="0.3">
      <c r="A13" t="s">
        <v>34</v>
      </c>
    </row>
    <row r="14" spans="1:4" x14ac:dyDescent="0.3">
      <c r="A14" t="s">
        <v>33</v>
      </c>
    </row>
    <row r="15" spans="1:4" x14ac:dyDescent="0.3">
      <c r="A15" t="s">
        <v>31</v>
      </c>
    </row>
    <row r="16" spans="1:4" x14ac:dyDescent="0.3">
      <c r="A16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BA4D-C0B8-4549-BDC5-7DA6DCD94F33}">
  <dimension ref="A1:E7"/>
  <sheetViews>
    <sheetView workbookViewId="0">
      <selection activeCell="B26" sqref="B26"/>
    </sheetView>
  </sheetViews>
  <sheetFormatPr defaultRowHeight="14.4" x14ac:dyDescent="0.3"/>
  <cols>
    <col min="1" max="1" width="14.44140625" bestFit="1" customWidth="1"/>
    <col min="2" max="2" width="30.5546875" bestFit="1" customWidth="1"/>
    <col min="3" max="3" width="9.109375" bestFit="1" customWidth="1"/>
    <col min="5" max="5" width="9" customWidth="1"/>
  </cols>
  <sheetData>
    <row r="1" spans="1:5" ht="21" x14ac:dyDescent="0.4">
      <c r="A1" s="2" t="s">
        <v>29</v>
      </c>
      <c r="B1" s="2"/>
    </row>
    <row r="3" spans="1:5" x14ac:dyDescent="0.3">
      <c r="A3" s="11" t="s">
        <v>13</v>
      </c>
      <c r="B3" s="11" t="s">
        <v>17</v>
      </c>
      <c r="C3" s="11" t="s">
        <v>3</v>
      </c>
      <c r="D3" s="11" t="s">
        <v>4</v>
      </c>
      <c r="E3" s="11" t="s">
        <v>5</v>
      </c>
    </row>
    <row r="4" spans="1:5" x14ac:dyDescent="0.3">
      <c r="A4" s="4" t="s">
        <v>14</v>
      </c>
      <c r="B4" s="6" t="s">
        <v>18</v>
      </c>
      <c r="C4" s="7">
        <v>7.5600000000000001E-2</v>
      </c>
      <c r="D4" s="10">
        <v>7.9000000000000001E-2</v>
      </c>
      <c r="E4" s="10">
        <v>7.5899999999999995E-2</v>
      </c>
    </row>
    <row r="5" spans="1:5" x14ac:dyDescent="0.3">
      <c r="A5" s="4" t="s">
        <v>1</v>
      </c>
      <c r="B5" s="6" t="s">
        <v>19</v>
      </c>
      <c r="C5" s="10">
        <v>0.10290000000000001</v>
      </c>
      <c r="D5" s="10">
        <v>8.5400000000000004E-2</v>
      </c>
      <c r="E5" s="10">
        <v>8.0500000000000002E-2</v>
      </c>
    </row>
    <row r="6" spans="1:5" x14ac:dyDescent="0.3">
      <c r="A6" s="4" t="s">
        <v>15</v>
      </c>
      <c r="B6" s="6" t="s">
        <v>20</v>
      </c>
      <c r="C6" s="12">
        <v>0.13300000000000001</v>
      </c>
      <c r="D6" s="12">
        <v>0.126</v>
      </c>
      <c r="E6" s="12">
        <v>0.113</v>
      </c>
    </row>
    <row r="7" spans="1:5" x14ac:dyDescent="0.3">
      <c r="A7" s="4" t="s">
        <v>16</v>
      </c>
      <c r="B7" s="6" t="s">
        <v>21</v>
      </c>
      <c r="C7" s="9">
        <v>0.44</v>
      </c>
      <c r="D7" s="9">
        <v>0.35</v>
      </c>
      <c r="E7" s="9">
        <v>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939A-841F-4D2C-AA72-A81C4FEBB8C1}">
  <dimension ref="A1:E8"/>
  <sheetViews>
    <sheetView workbookViewId="0">
      <selection activeCell="C22" sqref="C22"/>
    </sheetView>
  </sheetViews>
  <sheetFormatPr defaultRowHeight="14.4" x14ac:dyDescent="0.3"/>
  <cols>
    <col min="1" max="1" width="18" bestFit="1" customWidth="1"/>
    <col min="3" max="3" width="9.109375" bestFit="1" customWidth="1"/>
  </cols>
  <sheetData>
    <row r="1" spans="1:5" ht="21" x14ac:dyDescent="0.4">
      <c r="A1" s="2" t="s">
        <v>30</v>
      </c>
      <c r="B1" s="2"/>
      <c r="C1" s="2"/>
      <c r="D1" s="2"/>
      <c r="E1" s="2"/>
    </row>
    <row r="3" spans="1:5" x14ac:dyDescent="0.3">
      <c r="A3" s="11" t="s">
        <v>0</v>
      </c>
      <c r="B3" s="11" t="s">
        <v>3</v>
      </c>
      <c r="C3" s="11" t="s">
        <v>4</v>
      </c>
      <c r="D3" s="11" t="s">
        <v>5</v>
      </c>
    </row>
    <row r="4" spans="1:5" x14ac:dyDescent="0.3">
      <c r="A4" s="4" t="s">
        <v>22</v>
      </c>
      <c r="B4" s="6" t="s">
        <v>23</v>
      </c>
      <c r="C4" s="10">
        <v>2.5899999999999999E-2</v>
      </c>
      <c r="D4" s="10">
        <v>7.0999999999999994E-2</v>
      </c>
    </row>
    <row r="5" spans="1:5" x14ac:dyDescent="0.3">
      <c r="A5" s="4" t="s">
        <v>26</v>
      </c>
      <c r="B5" s="6" t="s">
        <v>23</v>
      </c>
      <c r="C5" s="10">
        <v>7.2599999999999998E-2</v>
      </c>
      <c r="D5" s="10">
        <v>2.9000000000000001E-2</v>
      </c>
    </row>
    <row r="6" spans="1:5" x14ac:dyDescent="0.3">
      <c r="A6" s="4" t="s">
        <v>25</v>
      </c>
      <c r="B6" s="12">
        <v>0.158</v>
      </c>
      <c r="C6" s="16">
        <v>0.17799999999999999</v>
      </c>
      <c r="D6" s="12">
        <v>0.17100000000000001</v>
      </c>
    </row>
    <row r="7" spans="1:5" x14ac:dyDescent="0.3">
      <c r="A7" s="4" t="s">
        <v>24</v>
      </c>
      <c r="B7" s="7">
        <v>0.10290000000000001</v>
      </c>
      <c r="C7" s="7">
        <v>8.5400000000000004E-2</v>
      </c>
      <c r="D7" s="7">
        <v>8.0500000000000002E-2</v>
      </c>
    </row>
    <row r="8" spans="1:5" x14ac:dyDescent="0.3">
      <c r="A8" s="4" t="s">
        <v>16</v>
      </c>
      <c r="B8" s="9">
        <v>0.44</v>
      </c>
      <c r="C8" s="9">
        <f>'Ratio Analysis'!D7</f>
        <v>0.35</v>
      </c>
      <c r="D8" s="9">
        <f>'Ratio Analysis'!E7</f>
        <v>0.34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Data</vt:lpstr>
      <vt:lpstr>Ratio Analysis</vt:lpstr>
      <vt:lpstr>YOY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Sidhdhardha</dc:creator>
  <cp:lastModifiedBy>Rahul Sidhdhardha</cp:lastModifiedBy>
  <dcterms:created xsi:type="dcterms:W3CDTF">2026-09-21T04:23:34Z</dcterms:created>
  <dcterms:modified xsi:type="dcterms:W3CDTF">2026-09-21T12:04:27Z</dcterms:modified>
</cp:coreProperties>
</file>